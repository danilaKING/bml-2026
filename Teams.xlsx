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Кекс\Downloads\Telegram Desktop\"/>
    </mc:Choice>
  </mc:AlternateContent>
  <xr:revisionPtr revIDLastSave="0" documentId="13_ncr:1_{E6162482-37FA-4608-98C8-B61A92160A32}" xr6:coauthVersionLast="47" xr6:coauthVersionMax="47" xr10:uidLastSave="{00000000-0000-0000-0000-000000000000}"/>
  <bookViews>
    <workbookView xWindow="19095" yWindow="0" windowWidth="19410" windowHeight="20985" tabRatio="500" xr2:uid="{00000000-000D-0000-FFFF-FFFF00000000}"/>
  </bookViews>
  <sheets>
    <sheet name="ОМО_4" sheetId="1" r:id="rId1"/>
  </sheets>
  <definedNames>
    <definedName name="_xlnm._FilterDatabase" localSheetId="0" hidden="1">ОМО_4!$A$1:$J$1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CalcA1ExcelA1"/>
    </ext>
  </extLst>
</workbook>
</file>

<file path=xl/calcChain.xml><?xml version="1.0" encoding="utf-8"?>
<calcChain xmlns="http://schemas.openxmlformats.org/spreadsheetml/2006/main">
  <c r="J55" i="1" l="1"/>
  <c r="J69" i="1"/>
  <c r="J7" i="1"/>
  <c r="J28" i="1"/>
  <c r="J30" i="1"/>
  <c r="J66" i="1"/>
  <c r="J50" i="1"/>
  <c r="J70" i="1"/>
  <c r="F70" i="1" s="1"/>
  <c r="J9" i="1"/>
  <c r="J8" i="1"/>
  <c r="J42" i="1"/>
  <c r="J25" i="1"/>
  <c r="J73" i="1"/>
  <c r="F8" i="1"/>
  <c r="J83" i="1"/>
  <c r="F83" i="1" s="1"/>
  <c r="J16" i="1"/>
  <c r="J35" i="1"/>
  <c r="J17" i="1"/>
  <c r="J13" i="1"/>
  <c r="J63" i="1"/>
  <c r="J36" i="1"/>
  <c r="I16" i="1"/>
  <c r="I55" i="1"/>
  <c r="F55" i="1" s="1"/>
  <c r="I9" i="1"/>
  <c r="I83" i="1"/>
  <c r="I80" i="1"/>
  <c r="I70" i="1"/>
  <c r="I36" i="1"/>
  <c r="I27" i="1"/>
  <c r="I8" i="1"/>
  <c r="I46" i="1"/>
  <c r="I24" i="1"/>
  <c r="I47" i="1"/>
  <c r="I25" i="1"/>
  <c r="I75" i="1"/>
  <c r="F52" i="1"/>
  <c r="F27" i="1"/>
  <c r="F74" i="1"/>
  <c r="F15" i="1"/>
  <c r="F76" i="1"/>
  <c r="F7" i="1"/>
  <c r="F28" i="1"/>
  <c r="F36" i="1"/>
  <c r="F13" i="1"/>
  <c r="F73" i="1"/>
  <c r="F43" i="1"/>
  <c r="F81" i="1"/>
  <c r="F17" i="1"/>
  <c r="F80" i="1"/>
  <c r="F5" i="1"/>
  <c r="F62" i="1"/>
  <c r="F23" i="1"/>
  <c r="F75" i="1"/>
  <c r="F78" i="1"/>
  <c r="F16" i="1"/>
  <c r="F35" i="1"/>
  <c r="F37" i="1"/>
  <c r="F54" i="1"/>
  <c r="F20" i="1"/>
  <c r="F79" i="1"/>
  <c r="F34" i="1"/>
  <c r="F42" i="1"/>
  <c r="F53" i="1"/>
  <c r="F63" i="1"/>
  <c r="F2" i="1"/>
  <c r="F65" i="1"/>
  <c r="F29" i="1"/>
  <c r="F72" i="1"/>
  <c r="F6" i="1"/>
  <c r="F18" i="1"/>
  <c r="F4" i="1"/>
  <c r="F46" i="1"/>
  <c r="F25" i="1"/>
  <c r="F31" i="1"/>
  <c r="F14" i="1"/>
  <c r="F59" i="1"/>
  <c r="F19" i="1"/>
  <c r="F47" i="1"/>
  <c r="F22" i="1"/>
  <c r="F32" i="1"/>
  <c r="F50" i="1"/>
  <c r="F69" i="1"/>
  <c r="F39" i="1"/>
  <c r="F40" i="1"/>
  <c r="F30" i="1"/>
  <c r="F66" i="1"/>
  <c r="F12" i="1"/>
  <c r="F38" i="1"/>
  <c r="F11" i="1"/>
  <c r="F51" i="1"/>
  <c r="F60" i="1"/>
  <c r="F64" i="1"/>
  <c r="F26" i="1"/>
  <c r="F44" i="1"/>
  <c r="F58" i="1"/>
  <c r="F82" i="1"/>
  <c r="F3" i="1"/>
  <c r="F57" i="1"/>
  <c r="F48" i="1"/>
  <c r="F71" i="1"/>
  <c r="F9" i="1"/>
  <c r="F24" i="1"/>
  <c r="F61" i="1"/>
  <c r="F68" i="1"/>
  <c r="F45" i="1"/>
  <c r="F56" i="1"/>
  <c r="F33" i="1"/>
  <c r="F67" i="1"/>
  <c r="F10" i="1"/>
  <c r="F21" i="1"/>
  <c r="F49" i="1"/>
  <c r="F77" i="1"/>
  <c r="F41" i="1"/>
  <c r="H35" i="1"/>
  <c r="H55" i="1"/>
  <c r="H78" i="1"/>
  <c r="H62" i="1"/>
  <c r="H9" i="1"/>
  <c r="H8" i="1"/>
  <c r="H24" i="1"/>
  <c r="H17" i="1"/>
  <c r="H13" i="1"/>
</calcChain>
</file>

<file path=xl/sharedStrings.xml><?xml version="1.0" encoding="utf-8"?>
<sst xmlns="http://schemas.openxmlformats.org/spreadsheetml/2006/main" count="255" uniqueCount="133">
  <si>
    <t>#</t>
  </si>
  <si>
    <t>ФИО</t>
  </si>
  <si>
    <t>Группа</t>
  </si>
  <si>
    <t>Команда</t>
  </si>
  <si>
    <t>Корся Ева</t>
  </si>
  <si>
    <t>5030102/30401</t>
  </si>
  <si>
    <t>Матвейчик Екатерина</t>
  </si>
  <si>
    <t>Дмитриенко Яна</t>
  </si>
  <si>
    <t>Шабанова Арина</t>
  </si>
  <si>
    <t>Власенко Виталия Ивановна</t>
  </si>
  <si>
    <t>5030102/30201</t>
  </si>
  <si>
    <t>Шевченко Дарья Андреевна</t>
  </si>
  <si>
    <t>Аулова Мария Владимировна</t>
  </si>
  <si>
    <t>Елисеева Мария Александровна</t>
  </si>
  <si>
    <t>Киселева Ксения</t>
  </si>
  <si>
    <t>5030102/30202</t>
  </si>
  <si>
    <t>Ятманова Анна</t>
  </si>
  <si>
    <t>Вайндрах Елизавета</t>
  </si>
  <si>
    <t>Чернорицкая Анастасия</t>
  </si>
  <si>
    <t>Кретова Дарья</t>
  </si>
  <si>
    <t>Эйсмонт Александра</t>
  </si>
  <si>
    <t>Воронцов Александр</t>
  </si>
  <si>
    <t>Шутова Юлия</t>
  </si>
  <si>
    <t>Андреев Ярослав</t>
  </si>
  <si>
    <t>Тимошенко Дарья</t>
  </si>
  <si>
    <t>Аюшева Рената</t>
  </si>
  <si>
    <t>Расторгуев Михаил Павлович</t>
  </si>
  <si>
    <t>Григорьева Анастасия</t>
  </si>
  <si>
    <t>Шевцов Дмитрий</t>
  </si>
  <si>
    <t>Назарова Анастасия</t>
  </si>
  <si>
    <t>Шилов Павел</t>
  </si>
  <si>
    <t>Волгина Анастасия</t>
  </si>
  <si>
    <t>5030102/30101</t>
  </si>
  <si>
    <t>Иванов Андрей</t>
  </si>
  <si>
    <t>Коваль Егор</t>
  </si>
  <si>
    <t>Мугтасимова Лиана</t>
  </si>
  <si>
    <t>Гиниятуллина Аида</t>
  </si>
  <si>
    <t>Шильдт Даниэль</t>
  </si>
  <si>
    <t>Иванов Александр</t>
  </si>
  <si>
    <t>Крапивина Ульяна</t>
  </si>
  <si>
    <t>Рзаева Элеонора Михайловна</t>
  </si>
  <si>
    <t>Савосина Дарья</t>
  </si>
  <si>
    <t>Архиповский Алексей</t>
  </si>
  <si>
    <t>Бурачевский Ефим</t>
  </si>
  <si>
    <t>Геллерт Илья</t>
  </si>
  <si>
    <t>Злочевский Андрей</t>
  </si>
  <si>
    <t>Козак Владислав</t>
  </si>
  <si>
    <t>Куракин Андрей</t>
  </si>
  <si>
    <t>Ларионов Сергей</t>
  </si>
  <si>
    <t>Павлов Михаил</t>
  </si>
  <si>
    <t>Сатунов Буучай</t>
  </si>
  <si>
    <t>Филь Фёдор</t>
  </si>
  <si>
    <t>Боровиков Артём Романович</t>
  </si>
  <si>
    <t>Горбачев Алексей Дмитриевич</t>
  </si>
  <si>
    <t>Гусев Глеб Артурович</t>
  </si>
  <si>
    <t>Гуцалов Егор Никитич</t>
  </si>
  <si>
    <t>Жданов Дмитрий Андреевич</t>
  </si>
  <si>
    <t>Житков Никита Сергеевич</t>
  </si>
  <si>
    <t>Жуков Александр Владимирович</t>
  </si>
  <si>
    <t>Крутянский Роман Игоревич</t>
  </si>
  <si>
    <t>Лемдянов Илья Данилович</t>
  </si>
  <si>
    <t>Литовченко Дмитрий Витальевич</t>
  </si>
  <si>
    <t xml:space="preserve">Малышев Дмитрий Викторович </t>
  </si>
  <si>
    <t>Медведьков Роман Антонович</t>
  </si>
  <si>
    <t>Никоноров Артем Константинович</t>
  </si>
  <si>
    <t>Сагун Александр Сергеевич</t>
  </si>
  <si>
    <t>Суханов Федор Алексеевич</t>
  </si>
  <si>
    <t>Черницын Иван Андреевич</t>
  </si>
  <si>
    <t>Юров Иван Андреевич</t>
  </si>
  <si>
    <t>Андреев Александр</t>
  </si>
  <si>
    <t>Бойцов Антон</t>
  </si>
  <si>
    <t>Герасимов Илья</t>
  </si>
  <si>
    <t>Гордеев Роман</t>
  </si>
  <si>
    <t>Кулиев Хакберди</t>
  </si>
  <si>
    <t>Куценко Артём</t>
  </si>
  <si>
    <t>Некрасов Леонид</t>
  </si>
  <si>
    <t>Петухов Дмитрий</t>
  </si>
  <si>
    <t>Рогожин Виктор</t>
  </si>
  <si>
    <t>Андреев Данила</t>
  </si>
  <si>
    <t>Андреев Даниил</t>
  </si>
  <si>
    <t>Басс Иван</t>
  </si>
  <si>
    <t>Виднов Максим</t>
  </si>
  <si>
    <t>Грищенко Илья</t>
  </si>
  <si>
    <t>Зинов Константин</t>
  </si>
  <si>
    <t>Колбин Марк</t>
  </si>
  <si>
    <t>Комаров Егор</t>
  </si>
  <si>
    <t>Никифоров Владислав</t>
  </si>
  <si>
    <t>Пятницын Матвей</t>
  </si>
  <si>
    <t>Сель Мехмет</t>
  </si>
  <si>
    <t>Шехурин Кирилл</t>
  </si>
  <si>
    <t>Выбранная тема</t>
  </si>
  <si>
    <t>Метод градиентного спуска 1 порядка</t>
  </si>
  <si>
    <t>Тема: К ближайших соседей</t>
  </si>
  <si>
    <t>Временные ряды</t>
  </si>
  <si>
    <t>Метод линейной регрессии</t>
  </si>
  <si>
    <t>Метод K-средних</t>
  </si>
  <si>
    <t>Градиентный бустинг</t>
  </si>
  <si>
    <t>DBSCAN</t>
  </si>
  <si>
    <t>Метод главных компонент</t>
  </si>
  <si>
    <t>Метод решающих деревьев</t>
  </si>
  <si>
    <t>Обратное распространение ошибки</t>
  </si>
  <si>
    <t>Регуляризация</t>
  </si>
  <si>
    <t>Автоматическое распознавание речи с использованием машинного обучения</t>
  </si>
  <si>
    <t>Метод логистической регрессии</t>
  </si>
  <si>
    <t>Аугментация данных</t>
  </si>
  <si>
    <t>Наивный байесовский классификатор</t>
  </si>
  <si>
    <t>Генетический алгоритм</t>
  </si>
  <si>
    <t>Случайный лес</t>
  </si>
  <si>
    <t>Полиномиальная регрессия</t>
  </si>
  <si>
    <t>Перцептрон</t>
  </si>
  <si>
    <t>Кросс валидация</t>
  </si>
  <si>
    <t>Методы отбора переменных</t>
  </si>
  <si>
    <t>Сверточные нейронные сети (CNN)</t>
  </si>
  <si>
    <t>Глубокое обучение с подкреплением</t>
  </si>
  <si>
    <t>Выступление</t>
  </si>
  <si>
    <t>Рекуррентные нейронные сети</t>
  </si>
  <si>
    <t>Метод опорных векторов</t>
  </si>
  <si>
    <t>Методы доменной адаптации</t>
  </si>
  <si>
    <t>Обучение с частичным привлечением учителя</t>
  </si>
  <si>
    <t>MLP Classifier</t>
  </si>
  <si>
    <t>Isolation Forest</t>
  </si>
  <si>
    <t>XGBoost</t>
  </si>
  <si>
    <t>Adaboost</t>
  </si>
  <si>
    <t>t-SNE</t>
  </si>
  <si>
    <t>Umap</t>
  </si>
  <si>
    <t>Стекинг и блендинг</t>
  </si>
  <si>
    <t>Гауссовские процессы (GP-регрессия)</t>
  </si>
  <si>
    <t>Энкодинги категориальных данных</t>
  </si>
  <si>
    <t>Механизм внимания трансформера</t>
  </si>
  <si>
    <t>Линейный дискриминантный анализ</t>
  </si>
  <si>
    <t>Баллы за презентацию</t>
  </si>
  <si>
    <t>Сумма баллов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</si>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</sst>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name val="Arial"/>
      <family val="2"/>
    </font>
    <font>
      <b/>
      <sz val="10"/>
      <name val="Arial"/>
      <family val="2"/>
    </font>
    <font>
      <sz val="10"/>
      <color theme="6" tint="0.59999389629810485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top"/>
    </xf>
    <xf numFmtId="0" fontId="2" fillId="0" borderId="0" xfId="0" applyFont="1"/>
    <xf numFmtId="0" fontId="1" fillId="3" borderId="0" xfId="0" applyFont="1" applyFill="1" applyAlignment="1">
      <alignment horizontal="center" vertical="top"/>
    </xf>
    <xf numFmtId="16" fontId="0" fillId="3" borderId="0" xfId="0" applyNumberFormat="1" applyFill="1"/>
    <xf numFmtId="0" fontId="0" fillId="0" borderId="0" xfId="0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84"/>
  <sheetViews>
    <sheetView tabSelected="1" topLeftCell="F43" zoomScale="180" zoomScaleNormal="180" workbookViewId="0">
      <selection activeCell="J56" sqref="J56"/>
    </sheetView>
  </sheetViews>
  <sheetFormatPr defaultColWidth="11.42578125" defaultRowHeight="12.75" x14ac:dyDescent="0.2"/>
  <cols>
    <col min="1" max="1" width="3.42578125" customWidth="1"/>
    <col min="2" max="2" width="31.28515625" customWidth="1"/>
    <col min="3" max="3" width="14.85546875" customWidth="1"/>
    <col min="5" max="5" width="70.7109375" bestFit="1" customWidth="1"/>
    <col min="6" max="6" width="19.140625" bestFit="1" customWidth="1"/>
    <col min="7" max="7" width="28.140625" bestFit="1" customWidth="1"/>
    <col min="8" max="10" width="12.5703125" bestFit="1" customWidth="1"/>
  </cols>
  <sheetData>
    <row r="1" spans="1:10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90</v>
      </c>
      <c r="F1" s="1" t="s">
        <v>131</v>
      </c>
      <c r="G1" s="3" t="s">
        <v>130</v>
      </c>
      <c r="H1" s="4">
        <v>46279</v>
      </c>
      <c r="I1" s="4">
        <v>46286</v>
      </c>
      <c r="J1" s="4">
        <v>46293</v>
      </c>
    </row>
    <row r="2" spans="1:10" x14ac:dyDescent="0.2">
      <c r="A2">
        <v>45</v>
      </c>
      <c r="B2" t="s">
        <v>69</v>
      </c>
      <c r="C2" t="s">
        <v>5</v>
      </c>
      <c r="D2">
        <v>18</v>
      </c>
      <c r="E2" t="s">
        <v>108</v>
      </c>
      <c r="F2">
        <f>SUM(G2:U2)</f>
        <v>0</v>
      </c>
    </row>
    <row r="3" spans="1:10" x14ac:dyDescent="0.2">
      <c r="A3">
        <v>70</v>
      </c>
      <c r="B3" t="s">
        <v>79</v>
      </c>
      <c r="C3" t="s">
        <v>32</v>
      </c>
      <c r="D3">
        <v>34</v>
      </c>
      <c r="E3" t="s">
        <v>124</v>
      </c>
      <c r="F3">
        <f>SUM(G3:U3)</f>
        <v>0</v>
      </c>
    </row>
    <row r="4" spans="1:10" x14ac:dyDescent="0.2">
      <c r="A4">
        <v>69</v>
      </c>
      <c r="B4" t="s">
        <v>78</v>
      </c>
      <c r="C4" t="s">
        <v>32</v>
      </c>
      <c r="D4">
        <v>21</v>
      </c>
      <c r="E4" t="s">
        <v>111</v>
      </c>
      <c r="F4">
        <f>SUM(G4:U4)</f>
        <v>0</v>
      </c>
      <c r="H4" s="2"/>
    </row>
    <row r="5" spans="1:10" x14ac:dyDescent="0.2">
      <c r="A5">
        <v>46</v>
      </c>
      <c r="B5" t="s">
        <v>23</v>
      </c>
      <c r="C5" t="s">
        <v>5</v>
      </c>
      <c r="D5">
        <v>9</v>
      </c>
      <c r="E5" t="s">
        <v>99</v>
      </c>
      <c r="F5">
        <f>SUM(G5:U5)</f>
        <v>0</v>
      </c>
    </row>
    <row r="6" spans="1:10" x14ac:dyDescent="0.2">
      <c r="A6">
        <v>1</v>
      </c>
      <c r="B6" t="s">
        <v>42</v>
      </c>
      <c r="C6" t="s">
        <v>15</v>
      </c>
      <c r="D6">
        <v>20</v>
      </c>
      <c r="E6" t="s">
        <v>110</v>
      </c>
      <c r="F6">
        <f>SUM(G6:U6)</f>
        <v>50</v>
      </c>
      <c r="G6">
        <v>50</v>
      </c>
      <c r="H6" s="2" t="s">
        <v>114</v>
      </c>
    </row>
    <row r="7" spans="1:10" x14ac:dyDescent="0.2">
      <c r="A7">
        <v>22</v>
      </c>
      <c r="B7" t="s">
        <v>12</v>
      </c>
      <c r="C7" t="s">
        <v>10</v>
      </c>
      <c r="D7">
        <v>4</v>
      </c>
      <c r="E7" t="s">
        <v>94</v>
      </c>
      <c r="F7">
        <f>SUM(G7:U7)</f>
        <v>53</v>
      </c>
      <c r="G7">
        <v>50</v>
      </c>
      <c r="H7" s="2"/>
      <c r="J7" s="2">
        <f>2+1+0</f>
        <v>3</v>
      </c>
    </row>
    <row r="8" spans="1:10" x14ac:dyDescent="0.2">
      <c r="A8">
        <v>2</v>
      </c>
      <c r="B8" t="s">
        <v>25</v>
      </c>
      <c r="C8" t="s">
        <v>15</v>
      </c>
      <c r="D8">
        <v>10</v>
      </c>
      <c r="E8" t="s">
        <v>100</v>
      </c>
      <c r="F8">
        <f>SUM(G8:U8)</f>
        <v>8</v>
      </c>
      <c r="H8">
        <f>1</f>
        <v>1</v>
      </c>
      <c r="I8">
        <f>1+1</f>
        <v>2</v>
      </c>
      <c r="J8">
        <f>2+1+2</f>
        <v>5</v>
      </c>
    </row>
    <row r="9" spans="1:10" x14ac:dyDescent="0.2">
      <c r="A9">
        <v>71</v>
      </c>
      <c r="B9" t="s">
        <v>80</v>
      </c>
      <c r="C9" t="s">
        <v>32</v>
      </c>
      <c r="D9">
        <v>36</v>
      </c>
      <c r="E9" t="s">
        <v>126</v>
      </c>
      <c r="F9">
        <f>SUM(G9:U9)</f>
        <v>10</v>
      </c>
      <c r="H9">
        <f>1+1</f>
        <v>2</v>
      </c>
      <c r="I9">
        <f>1+1+1+1</f>
        <v>4</v>
      </c>
      <c r="J9">
        <f>2+1+1</f>
        <v>4</v>
      </c>
    </row>
    <row r="10" spans="1:10" x14ac:dyDescent="0.2">
      <c r="A10">
        <v>47</v>
      </c>
      <c r="B10" t="s">
        <v>70</v>
      </c>
      <c r="C10" t="s">
        <v>5</v>
      </c>
      <c r="F10">
        <f>SUM(G10:U10)</f>
        <v>0</v>
      </c>
    </row>
    <row r="11" spans="1:10" x14ac:dyDescent="0.2">
      <c r="A11">
        <v>23</v>
      </c>
      <c r="B11" t="s">
        <v>52</v>
      </c>
      <c r="C11" t="s">
        <v>10</v>
      </c>
      <c r="D11">
        <v>30</v>
      </c>
      <c r="E11" t="s">
        <v>121</v>
      </c>
      <c r="F11">
        <f>SUM(G11:U11)</f>
        <v>0</v>
      </c>
    </row>
    <row r="12" spans="1:10" x14ac:dyDescent="0.2">
      <c r="A12">
        <v>3</v>
      </c>
      <c r="B12" t="s">
        <v>43</v>
      </c>
      <c r="C12" t="s">
        <v>15</v>
      </c>
      <c r="D12">
        <v>29</v>
      </c>
      <c r="E12" t="s">
        <v>120</v>
      </c>
      <c r="F12">
        <f>SUM(G12:U12)</f>
        <v>0</v>
      </c>
    </row>
    <row r="13" spans="1:10" x14ac:dyDescent="0.2">
      <c r="A13">
        <v>4</v>
      </c>
      <c r="B13" t="s">
        <v>17</v>
      </c>
      <c r="C13" t="s">
        <v>15</v>
      </c>
      <c r="D13">
        <v>6</v>
      </c>
      <c r="E13" t="s">
        <v>96</v>
      </c>
      <c r="F13">
        <f>SUM(G13:U13)</f>
        <v>52</v>
      </c>
      <c r="G13">
        <v>50</v>
      </c>
      <c r="H13">
        <f>1+1</f>
        <v>2</v>
      </c>
      <c r="I13" s="2" t="s">
        <v>114</v>
      </c>
      <c r="J13">
        <f>0</f>
        <v>0</v>
      </c>
    </row>
    <row r="14" spans="1:10" x14ac:dyDescent="0.2">
      <c r="A14">
        <v>72</v>
      </c>
      <c r="B14" t="s">
        <v>81</v>
      </c>
      <c r="C14" t="s">
        <v>32</v>
      </c>
      <c r="D14">
        <v>23</v>
      </c>
      <c r="E14" t="s">
        <v>113</v>
      </c>
      <c r="F14">
        <f>SUM(G14:U14)</f>
        <v>0</v>
      </c>
    </row>
    <row r="15" spans="1:10" x14ac:dyDescent="0.2">
      <c r="A15">
        <v>24</v>
      </c>
      <c r="B15" t="s">
        <v>9</v>
      </c>
      <c r="C15" t="s">
        <v>10</v>
      </c>
      <c r="D15">
        <v>3</v>
      </c>
      <c r="E15" t="s">
        <v>93</v>
      </c>
      <c r="F15">
        <f>SUM(G15:U15)</f>
        <v>0</v>
      </c>
    </row>
    <row r="16" spans="1:10" x14ac:dyDescent="0.2">
      <c r="A16">
        <v>73</v>
      </c>
      <c r="B16" t="s">
        <v>31</v>
      </c>
      <c r="C16" t="s">
        <v>32</v>
      </c>
      <c r="D16">
        <v>13</v>
      </c>
      <c r="E16" t="s">
        <v>103</v>
      </c>
      <c r="F16">
        <f>SUM(G16:U16)</f>
        <v>54</v>
      </c>
      <c r="G16">
        <v>50</v>
      </c>
      <c r="I16" s="2">
        <f>1+1</f>
        <v>2</v>
      </c>
      <c r="J16">
        <f>2</f>
        <v>2</v>
      </c>
    </row>
    <row r="17" spans="1:10" x14ac:dyDescent="0.2">
      <c r="A17">
        <v>48</v>
      </c>
      <c r="B17" t="s">
        <v>21</v>
      </c>
      <c r="C17" t="s">
        <v>5</v>
      </c>
      <c r="D17">
        <v>8</v>
      </c>
      <c r="E17" t="s">
        <v>98</v>
      </c>
      <c r="F17">
        <f>SUM(G17:U17)</f>
        <v>53</v>
      </c>
      <c r="G17">
        <v>50</v>
      </c>
      <c r="H17">
        <f>2</f>
        <v>2</v>
      </c>
      <c r="I17" s="2" t="s">
        <v>114</v>
      </c>
      <c r="J17">
        <f>1</f>
        <v>1</v>
      </c>
    </row>
    <row r="18" spans="1:10" x14ac:dyDescent="0.2">
      <c r="A18">
        <v>5</v>
      </c>
      <c r="B18" t="s">
        <v>44</v>
      </c>
      <c r="C18" t="s">
        <v>15</v>
      </c>
      <c r="D18">
        <v>20</v>
      </c>
      <c r="E18" t="s">
        <v>110</v>
      </c>
      <c r="F18">
        <f>SUM(G18:U18)</f>
        <v>51</v>
      </c>
      <c r="G18">
        <v>50</v>
      </c>
      <c r="H18" s="2">
        <v>1</v>
      </c>
    </row>
    <row r="19" spans="1:10" x14ac:dyDescent="0.2">
      <c r="A19">
        <v>49</v>
      </c>
      <c r="B19" t="s">
        <v>71</v>
      </c>
      <c r="C19" t="s">
        <v>5</v>
      </c>
      <c r="D19">
        <v>24</v>
      </c>
      <c r="E19" t="s">
        <v>115</v>
      </c>
      <c r="F19">
        <f>SUM(G19:U19)</f>
        <v>0</v>
      </c>
    </row>
    <row r="20" spans="1:10" x14ac:dyDescent="0.2">
      <c r="A20">
        <v>6</v>
      </c>
      <c r="B20" t="s">
        <v>36</v>
      </c>
      <c r="C20" t="s">
        <v>15</v>
      </c>
      <c r="D20">
        <v>15</v>
      </c>
      <c r="E20" t="s">
        <v>105</v>
      </c>
      <c r="F20">
        <f>SUM(G20:U20)</f>
        <v>0</v>
      </c>
    </row>
    <row r="21" spans="1:10" x14ac:dyDescent="0.2">
      <c r="A21">
        <v>25</v>
      </c>
      <c r="B21" t="s">
        <v>53</v>
      </c>
      <c r="C21" t="s">
        <v>10</v>
      </c>
      <c r="F21">
        <f>SUM(G21:U21)</f>
        <v>0</v>
      </c>
    </row>
    <row r="22" spans="1:10" x14ac:dyDescent="0.2">
      <c r="A22">
        <v>50</v>
      </c>
      <c r="B22" t="s">
        <v>72</v>
      </c>
      <c r="C22" t="s">
        <v>5</v>
      </c>
      <c r="D22">
        <v>25</v>
      </c>
      <c r="E22" t="s">
        <v>116</v>
      </c>
      <c r="F22">
        <f>SUM(G22:U22)</f>
        <v>0</v>
      </c>
    </row>
    <row r="23" spans="1:10" x14ac:dyDescent="0.2">
      <c r="A23">
        <v>7</v>
      </c>
      <c r="B23" t="s">
        <v>27</v>
      </c>
      <c r="C23" t="s">
        <v>15</v>
      </c>
      <c r="D23">
        <v>11</v>
      </c>
      <c r="E23" t="s">
        <v>101</v>
      </c>
      <c r="F23">
        <f>SUM(G23:U23)</f>
        <v>0</v>
      </c>
    </row>
    <row r="24" spans="1:10" x14ac:dyDescent="0.2">
      <c r="A24">
        <v>74</v>
      </c>
      <c r="B24" t="s">
        <v>82</v>
      </c>
      <c r="C24" t="s">
        <v>32</v>
      </c>
      <c r="D24">
        <v>36</v>
      </c>
      <c r="E24" t="s">
        <v>126</v>
      </c>
      <c r="F24">
        <f>SUM(G24:U24)</f>
        <v>2</v>
      </c>
      <c r="H24">
        <f>1</f>
        <v>1</v>
      </c>
      <c r="I24">
        <f>1</f>
        <v>1</v>
      </c>
    </row>
    <row r="25" spans="1:10" x14ac:dyDescent="0.2">
      <c r="A25">
        <v>26</v>
      </c>
      <c r="B25" t="s">
        <v>54</v>
      </c>
      <c r="C25" t="s">
        <v>10</v>
      </c>
      <c r="D25">
        <v>22</v>
      </c>
      <c r="E25" t="s">
        <v>112</v>
      </c>
      <c r="F25">
        <f>SUM(G25:U25)</f>
        <v>3</v>
      </c>
      <c r="I25">
        <f>2</f>
        <v>2</v>
      </c>
      <c r="J25">
        <f>1</f>
        <v>1</v>
      </c>
    </row>
    <row r="26" spans="1:10" x14ac:dyDescent="0.2">
      <c r="A26">
        <v>27</v>
      </c>
      <c r="B26" t="s">
        <v>55</v>
      </c>
      <c r="C26" t="s">
        <v>10</v>
      </c>
      <c r="D26">
        <v>32</v>
      </c>
      <c r="E26" t="s">
        <v>123</v>
      </c>
      <c r="F26">
        <f>SUM(G26:U26)</f>
        <v>0</v>
      </c>
      <c r="I26" s="2"/>
    </row>
    <row r="27" spans="1:10" x14ac:dyDescent="0.2">
      <c r="A27">
        <v>51</v>
      </c>
      <c r="B27" t="s">
        <v>7</v>
      </c>
      <c r="C27" t="s">
        <v>5</v>
      </c>
      <c r="D27">
        <v>2</v>
      </c>
      <c r="E27" t="s">
        <v>92</v>
      </c>
      <c r="F27">
        <f>SUM(G27:U27)</f>
        <v>6</v>
      </c>
      <c r="H27">
        <v>2</v>
      </c>
      <c r="I27" s="5">
        <f>2+2</f>
        <v>4</v>
      </c>
    </row>
    <row r="28" spans="1:10" x14ac:dyDescent="0.2">
      <c r="A28">
        <v>28</v>
      </c>
      <c r="B28" t="s">
        <v>13</v>
      </c>
      <c r="C28" t="s">
        <v>10</v>
      </c>
      <c r="D28">
        <v>4</v>
      </c>
      <c r="E28" t="s">
        <v>94</v>
      </c>
      <c r="F28">
        <f>SUM(G28:U28)</f>
        <v>57</v>
      </c>
      <c r="G28">
        <v>50</v>
      </c>
      <c r="H28" s="2"/>
      <c r="I28">
        <v>1</v>
      </c>
      <c r="J28" s="2">
        <f>2+2+2</f>
        <v>6</v>
      </c>
    </row>
    <row r="29" spans="1:10" x14ac:dyDescent="0.2">
      <c r="A29">
        <v>29</v>
      </c>
      <c r="B29" t="s">
        <v>56</v>
      </c>
      <c r="C29" t="s">
        <v>10</v>
      </c>
      <c r="D29">
        <v>19</v>
      </c>
      <c r="E29" t="s">
        <v>109</v>
      </c>
      <c r="F29">
        <f>SUM(G29:U29)</f>
        <v>0</v>
      </c>
    </row>
    <row r="30" spans="1:10" x14ac:dyDescent="0.2">
      <c r="A30">
        <v>30</v>
      </c>
      <c r="B30" t="s">
        <v>57</v>
      </c>
      <c r="C30" t="s">
        <v>10</v>
      </c>
      <c r="D30">
        <v>28</v>
      </c>
      <c r="E30" t="s">
        <v>119</v>
      </c>
      <c r="F30">
        <f>SUM(G30:U30)</f>
        <v>55</v>
      </c>
      <c r="G30">
        <v>50</v>
      </c>
      <c r="J30" s="2">
        <f>2+2+1</f>
        <v>5</v>
      </c>
    </row>
    <row r="31" spans="1:10" x14ac:dyDescent="0.2">
      <c r="A31">
        <v>31</v>
      </c>
      <c r="B31" t="s">
        <v>58</v>
      </c>
      <c r="C31" t="s">
        <v>10</v>
      </c>
      <c r="D31">
        <v>22</v>
      </c>
      <c r="E31" t="s">
        <v>112</v>
      </c>
      <c r="F31">
        <f>SUM(G31:U31)</f>
        <v>0</v>
      </c>
    </row>
    <row r="32" spans="1:10" x14ac:dyDescent="0.2">
      <c r="A32">
        <v>75</v>
      </c>
      <c r="B32" t="s">
        <v>83</v>
      </c>
      <c r="C32" t="s">
        <v>32</v>
      </c>
      <c r="D32">
        <v>25</v>
      </c>
      <c r="E32" t="s">
        <v>116</v>
      </c>
      <c r="F32">
        <f>SUM(G32:U32)</f>
        <v>0</v>
      </c>
    </row>
    <row r="33" spans="1:10" x14ac:dyDescent="0.2">
      <c r="A33">
        <v>8</v>
      </c>
      <c r="B33" t="s">
        <v>45</v>
      </c>
      <c r="C33" t="s">
        <v>15</v>
      </c>
      <c r="D33">
        <v>39</v>
      </c>
      <c r="F33">
        <f>SUM(G33:U33)</f>
        <v>0</v>
      </c>
    </row>
    <row r="34" spans="1:10" x14ac:dyDescent="0.2">
      <c r="A34">
        <v>52</v>
      </c>
      <c r="B34" t="s">
        <v>38</v>
      </c>
      <c r="C34" t="s">
        <v>5</v>
      </c>
      <c r="D34">
        <v>16</v>
      </c>
      <c r="E34" t="s">
        <v>106</v>
      </c>
      <c r="F34">
        <f>SUM(G34:U34)</f>
        <v>0</v>
      </c>
    </row>
    <row r="35" spans="1:10" x14ac:dyDescent="0.2">
      <c r="A35">
        <v>76</v>
      </c>
      <c r="B35" t="s">
        <v>33</v>
      </c>
      <c r="C35" t="s">
        <v>32</v>
      </c>
      <c r="D35">
        <v>13</v>
      </c>
      <c r="E35" t="s">
        <v>103</v>
      </c>
      <c r="F35">
        <f>SUM(G35:U35)</f>
        <v>53</v>
      </c>
      <c r="G35">
        <v>50</v>
      </c>
      <c r="H35">
        <f>1+1</f>
        <v>2</v>
      </c>
      <c r="I35" s="2" t="s">
        <v>114</v>
      </c>
      <c r="J35">
        <f>1</f>
        <v>1</v>
      </c>
    </row>
    <row r="36" spans="1:10" x14ac:dyDescent="0.2">
      <c r="A36">
        <v>9</v>
      </c>
      <c r="B36" t="s">
        <v>14</v>
      </c>
      <c r="C36" t="s">
        <v>15</v>
      </c>
      <c r="D36">
        <v>5</v>
      </c>
      <c r="E36" t="s">
        <v>95</v>
      </c>
      <c r="F36">
        <f>SUM(G36:U36)</f>
        <v>55</v>
      </c>
      <c r="G36">
        <v>50</v>
      </c>
      <c r="H36" s="2" t="s">
        <v>114</v>
      </c>
      <c r="I36">
        <f>1+1+1</f>
        <v>3</v>
      </c>
      <c r="J36">
        <f>2</f>
        <v>2</v>
      </c>
    </row>
    <row r="37" spans="1:10" x14ac:dyDescent="0.2">
      <c r="A37">
        <v>53</v>
      </c>
      <c r="B37" t="s">
        <v>34</v>
      </c>
      <c r="C37" t="s">
        <v>5</v>
      </c>
      <c r="D37">
        <v>14</v>
      </c>
      <c r="E37" t="s">
        <v>104</v>
      </c>
      <c r="F37">
        <f>SUM(G37:U37)</f>
        <v>0</v>
      </c>
    </row>
    <row r="38" spans="1:10" x14ac:dyDescent="0.2">
      <c r="A38">
        <v>10</v>
      </c>
      <c r="B38" t="s">
        <v>46</v>
      </c>
      <c r="C38" t="s">
        <v>15</v>
      </c>
      <c r="D38">
        <v>29</v>
      </c>
      <c r="E38" t="s">
        <v>120</v>
      </c>
      <c r="F38">
        <f>SUM(G38:U38)</f>
        <v>0</v>
      </c>
    </row>
    <row r="39" spans="1:10" x14ac:dyDescent="0.2">
      <c r="A39">
        <v>77</v>
      </c>
      <c r="B39" t="s">
        <v>84</v>
      </c>
      <c r="C39" t="s">
        <v>32</v>
      </c>
      <c r="D39">
        <v>27</v>
      </c>
      <c r="E39" t="s">
        <v>118</v>
      </c>
      <c r="F39">
        <f>SUM(G39:U39)</f>
        <v>0</v>
      </c>
    </row>
    <row r="40" spans="1:10" x14ac:dyDescent="0.2">
      <c r="A40">
        <v>78</v>
      </c>
      <c r="B40" t="s">
        <v>85</v>
      </c>
      <c r="C40" t="s">
        <v>32</v>
      </c>
      <c r="D40">
        <v>27</v>
      </c>
      <c r="E40" t="s">
        <v>118</v>
      </c>
      <c r="F40">
        <f>SUM(G40:U40)</f>
        <v>0</v>
      </c>
    </row>
    <row r="41" spans="1:10" x14ac:dyDescent="0.2">
      <c r="A41">
        <v>54</v>
      </c>
      <c r="B41" t="s">
        <v>4</v>
      </c>
      <c r="C41" t="s">
        <v>5</v>
      </c>
      <c r="D41">
        <v>1</v>
      </c>
      <c r="E41" t="s">
        <v>91</v>
      </c>
      <c r="F41">
        <f>SUM(G41:U41)</f>
        <v>0</v>
      </c>
    </row>
    <row r="42" spans="1:10" x14ac:dyDescent="0.2">
      <c r="A42">
        <v>55</v>
      </c>
      <c r="B42" t="s">
        <v>39</v>
      </c>
      <c r="C42" t="s">
        <v>5</v>
      </c>
      <c r="D42">
        <v>16</v>
      </c>
      <c r="E42" t="s">
        <v>106</v>
      </c>
      <c r="F42">
        <f>SUM(G42:U42)</f>
        <v>3</v>
      </c>
      <c r="J42">
        <f>2+1</f>
        <v>3</v>
      </c>
    </row>
    <row r="43" spans="1:10" x14ac:dyDescent="0.2">
      <c r="A43">
        <v>56</v>
      </c>
      <c r="B43" t="s">
        <v>19</v>
      </c>
      <c r="C43" t="s">
        <v>5</v>
      </c>
      <c r="D43">
        <v>7</v>
      </c>
      <c r="E43" t="s">
        <v>97</v>
      </c>
      <c r="F43">
        <f>SUM(G43:U43)</f>
        <v>0</v>
      </c>
    </row>
    <row r="44" spans="1:10" x14ac:dyDescent="0.2">
      <c r="A44">
        <v>32</v>
      </c>
      <c r="B44" t="s">
        <v>59</v>
      </c>
      <c r="C44" t="s">
        <v>10</v>
      </c>
      <c r="D44">
        <v>32</v>
      </c>
      <c r="E44" t="s">
        <v>123</v>
      </c>
      <c r="F44">
        <f>SUM(G44:U44)</f>
        <v>0</v>
      </c>
    </row>
    <row r="45" spans="1:10" x14ac:dyDescent="0.2">
      <c r="A45">
        <v>57</v>
      </c>
      <c r="B45" t="s">
        <v>73</v>
      </c>
      <c r="C45" t="s">
        <v>5</v>
      </c>
      <c r="D45">
        <v>38</v>
      </c>
      <c r="E45" t="s">
        <v>129</v>
      </c>
      <c r="F45">
        <f>SUM(G45:U45)</f>
        <v>0</v>
      </c>
    </row>
    <row r="46" spans="1:10" x14ac:dyDescent="0.2">
      <c r="A46">
        <v>11</v>
      </c>
      <c r="B46" t="s">
        <v>47</v>
      </c>
      <c r="C46" t="s">
        <v>15</v>
      </c>
      <c r="D46">
        <v>21</v>
      </c>
      <c r="E46" t="s">
        <v>111</v>
      </c>
      <c r="F46">
        <f>SUM(G46:U46)</f>
        <v>2</v>
      </c>
      <c r="H46" s="2"/>
      <c r="I46">
        <f>2</f>
        <v>2</v>
      </c>
    </row>
    <row r="47" spans="1:10" x14ac:dyDescent="0.2">
      <c r="A47">
        <v>58</v>
      </c>
      <c r="B47" t="s">
        <v>74</v>
      </c>
      <c r="C47" t="s">
        <v>5</v>
      </c>
      <c r="D47">
        <v>24</v>
      </c>
      <c r="E47" t="s">
        <v>115</v>
      </c>
      <c r="F47">
        <f>SUM(G47:U47)</f>
        <v>1</v>
      </c>
      <c r="I47">
        <f>1</f>
        <v>1</v>
      </c>
    </row>
    <row r="48" spans="1:10" x14ac:dyDescent="0.2">
      <c r="A48">
        <v>12</v>
      </c>
      <c r="B48" t="s">
        <v>48</v>
      </c>
      <c r="C48" t="s">
        <v>15</v>
      </c>
      <c r="D48">
        <v>35</v>
      </c>
      <c r="E48" t="s">
        <v>128</v>
      </c>
      <c r="F48">
        <f>SUM(G48:U48)</f>
        <v>0</v>
      </c>
    </row>
    <row r="49" spans="1:10" x14ac:dyDescent="0.2">
      <c r="A49">
        <v>33</v>
      </c>
      <c r="B49" t="s">
        <v>60</v>
      </c>
      <c r="C49" t="s">
        <v>10</v>
      </c>
      <c r="F49">
        <f>SUM(G49:U49)</f>
        <v>0</v>
      </c>
    </row>
    <row r="50" spans="1:10" x14ac:dyDescent="0.2">
      <c r="A50">
        <v>34</v>
      </c>
      <c r="B50" t="s">
        <v>61</v>
      </c>
      <c r="C50" t="s">
        <v>10</v>
      </c>
      <c r="D50">
        <v>26</v>
      </c>
      <c r="E50" t="s">
        <v>117</v>
      </c>
      <c r="F50">
        <f>SUM(G50:U50)</f>
        <v>56</v>
      </c>
      <c r="G50">
        <v>50</v>
      </c>
      <c r="J50" s="2">
        <f>2+2+0+2</f>
        <v>6</v>
      </c>
    </row>
    <row r="51" spans="1:10" x14ac:dyDescent="0.2">
      <c r="A51">
        <v>35</v>
      </c>
      <c r="B51" t="s">
        <v>62</v>
      </c>
      <c r="C51" t="s">
        <v>10</v>
      </c>
      <c r="D51">
        <v>30</v>
      </c>
      <c r="E51" t="s">
        <v>121</v>
      </c>
      <c r="F51">
        <f>SUM(G51:U51)</f>
        <v>0</v>
      </c>
    </row>
    <row r="52" spans="1:10" x14ac:dyDescent="0.2">
      <c r="A52">
        <v>59</v>
      </c>
      <c r="B52" t="s">
        <v>6</v>
      </c>
      <c r="C52" t="s">
        <v>5</v>
      </c>
      <c r="D52">
        <v>1</v>
      </c>
      <c r="E52" t="s">
        <v>91</v>
      </c>
      <c r="F52">
        <f>SUM(G52:U52)</f>
        <v>0</v>
      </c>
    </row>
    <row r="53" spans="1:10" x14ac:dyDescent="0.2">
      <c r="A53">
        <v>36</v>
      </c>
      <c r="B53" t="s">
        <v>63</v>
      </c>
      <c r="C53" t="s">
        <v>10</v>
      </c>
      <c r="D53">
        <v>17</v>
      </c>
      <c r="E53" t="s">
        <v>107</v>
      </c>
      <c r="F53">
        <f>SUM(G53:U53)</f>
        <v>0</v>
      </c>
    </row>
    <row r="54" spans="1:10" x14ac:dyDescent="0.2">
      <c r="A54">
        <v>60</v>
      </c>
      <c r="B54" t="s">
        <v>35</v>
      </c>
      <c r="C54" t="s">
        <v>5</v>
      </c>
      <c r="D54">
        <v>14</v>
      </c>
      <c r="E54" t="s">
        <v>104</v>
      </c>
      <c r="F54">
        <f>SUM(G54:U54)</f>
        <v>0</v>
      </c>
    </row>
    <row r="55" spans="1:10" x14ac:dyDescent="0.2">
      <c r="A55">
        <v>13</v>
      </c>
      <c r="B55" t="s">
        <v>29</v>
      </c>
      <c r="C55" t="s">
        <v>15</v>
      </c>
      <c r="D55">
        <v>12</v>
      </c>
      <c r="E55" t="s">
        <v>102</v>
      </c>
      <c r="F55">
        <f>SUM(G55:U55)</f>
        <v>10</v>
      </c>
      <c r="H55">
        <f>1</f>
        <v>1</v>
      </c>
      <c r="I55">
        <f>1+1+1</f>
        <v>3</v>
      </c>
      <c r="J55">
        <f>2+2+2</f>
        <v>6</v>
      </c>
    </row>
    <row r="56" spans="1:10" x14ac:dyDescent="0.2">
      <c r="A56">
        <v>61</v>
      </c>
      <c r="B56" t="s">
        <v>75</v>
      </c>
      <c r="C56" t="s">
        <v>5</v>
      </c>
      <c r="D56">
        <v>38</v>
      </c>
      <c r="E56" t="s">
        <v>129</v>
      </c>
      <c r="F56">
        <f>SUM(G56:U56)</f>
        <v>0</v>
      </c>
    </row>
    <row r="57" spans="1:10" x14ac:dyDescent="0.2">
      <c r="A57">
        <v>79</v>
      </c>
      <c r="B57" t="s">
        <v>86</v>
      </c>
      <c r="C57" t="s">
        <v>32</v>
      </c>
      <c r="D57">
        <v>34</v>
      </c>
      <c r="E57" t="s">
        <v>124</v>
      </c>
      <c r="F57">
        <f>SUM(G57:U57)</f>
        <v>0</v>
      </c>
    </row>
    <row r="58" spans="1:10" x14ac:dyDescent="0.2">
      <c r="A58">
        <v>37</v>
      </c>
      <c r="B58" t="s">
        <v>64</v>
      </c>
      <c r="C58" t="s">
        <v>10</v>
      </c>
      <c r="D58">
        <v>33</v>
      </c>
      <c r="E58" t="s">
        <v>125</v>
      </c>
      <c r="F58">
        <f>SUM(G58:U58)</f>
        <v>0</v>
      </c>
    </row>
    <row r="59" spans="1:10" x14ac:dyDescent="0.2">
      <c r="A59">
        <v>14</v>
      </c>
      <c r="B59" t="s">
        <v>49</v>
      </c>
      <c r="C59" t="s">
        <v>15</v>
      </c>
      <c r="D59">
        <v>23</v>
      </c>
      <c r="E59" t="s">
        <v>113</v>
      </c>
      <c r="F59">
        <f>SUM(G59:U59)</f>
        <v>0</v>
      </c>
    </row>
    <row r="60" spans="1:10" x14ac:dyDescent="0.2">
      <c r="A60">
        <v>62</v>
      </c>
      <c r="B60" t="s">
        <v>76</v>
      </c>
      <c r="C60" t="s">
        <v>5</v>
      </c>
      <c r="D60">
        <v>31</v>
      </c>
      <c r="E60" t="s">
        <v>122</v>
      </c>
      <c r="F60">
        <f>SUM(G60:U60)</f>
        <v>0</v>
      </c>
    </row>
    <row r="61" spans="1:10" x14ac:dyDescent="0.2">
      <c r="A61">
        <v>80</v>
      </c>
      <c r="B61" t="s">
        <v>87</v>
      </c>
      <c r="C61" t="s">
        <v>32</v>
      </c>
      <c r="D61">
        <v>37</v>
      </c>
      <c r="E61" t="s">
        <v>127</v>
      </c>
      <c r="F61">
        <f>SUM(G61:U61)</f>
        <v>0</v>
      </c>
    </row>
    <row r="62" spans="1:10" x14ac:dyDescent="0.2">
      <c r="A62">
        <v>38</v>
      </c>
      <c r="B62" t="s">
        <v>26</v>
      </c>
      <c r="C62" t="s">
        <v>10</v>
      </c>
      <c r="D62">
        <v>10</v>
      </c>
      <c r="E62" t="s">
        <v>100</v>
      </c>
      <c r="F62">
        <f>SUM(G62:U62)</f>
        <v>3</v>
      </c>
      <c r="H62">
        <f>1+2</f>
        <v>3</v>
      </c>
    </row>
    <row r="63" spans="1:10" x14ac:dyDescent="0.2">
      <c r="A63">
        <v>39</v>
      </c>
      <c r="B63" t="s">
        <v>40</v>
      </c>
      <c r="C63" t="s">
        <v>10</v>
      </c>
      <c r="D63">
        <v>17</v>
      </c>
      <c r="E63" t="s">
        <v>107</v>
      </c>
      <c r="F63">
        <f>SUM(G63:U63)</f>
        <v>2</v>
      </c>
      <c r="J63">
        <f>2</f>
        <v>2</v>
      </c>
    </row>
    <row r="64" spans="1:10" x14ac:dyDescent="0.2">
      <c r="A64">
        <v>63</v>
      </c>
      <c r="B64" t="s">
        <v>77</v>
      </c>
      <c r="C64" t="s">
        <v>5</v>
      </c>
      <c r="D64">
        <v>31</v>
      </c>
      <c r="E64" t="s">
        <v>122</v>
      </c>
      <c r="F64">
        <f>SUM(G64:U64)</f>
        <v>0</v>
      </c>
    </row>
    <row r="65" spans="1:10" x14ac:dyDescent="0.2">
      <c r="A65">
        <v>64</v>
      </c>
      <c r="B65" t="s">
        <v>41</v>
      </c>
      <c r="C65" t="s">
        <v>5</v>
      </c>
      <c r="D65">
        <v>18</v>
      </c>
      <c r="E65" t="s">
        <v>108</v>
      </c>
      <c r="F65">
        <f>SUM(G65:U65)</f>
        <v>0</v>
      </c>
    </row>
    <row r="66" spans="1:10" x14ac:dyDescent="0.2">
      <c r="A66">
        <v>40</v>
      </c>
      <c r="B66" t="s">
        <v>65</v>
      </c>
      <c r="C66" t="s">
        <v>10</v>
      </c>
      <c r="D66">
        <v>28</v>
      </c>
      <c r="E66" t="s">
        <v>119</v>
      </c>
      <c r="F66">
        <f>SUM(G66:U66)</f>
        <v>55</v>
      </c>
      <c r="G66">
        <v>50</v>
      </c>
      <c r="J66" s="2">
        <f>2+2+1</f>
        <v>5</v>
      </c>
    </row>
    <row r="67" spans="1:10" x14ac:dyDescent="0.2">
      <c r="A67">
        <v>15</v>
      </c>
      <c r="B67" t="s">
        <v>50</v>
      </c>
      <c r="C67" t="s">
        <v>15</v>
      </c>
      <c r="D67">
        <v>39</v>
      </c>
      <c r="F67">
        <f>SUM(G67:U67)</f>
        <v>0</v>
      </c>
    </row>
    <row r="68" spans="1:10" x14ac:dyDescent="0.2">
      <c r="A68">
        <v>81</v>
      </c>
      <c r="B68" t="s">
        <v>88</v>
      </c>
      <c r="C68" t="s">
        <v>32</v>
      </c>
      <c r="D68">
        <v>37</v>
      </c>
      <c r="E68" t="s">
        <v>127</v>
      </c>
      <c r="F68">
        <f>SUM(G68:U68)</f>
        <v>0</v>
      </c>
    </row>
    <row r="69" spans="1:10" x14ac:dyDescent="0.2">
      <c r="A69">
        <v>41</v>
      </c>
      <c r="B69" t="s">
        <v>66</v>
      </c>
      <c r="C69" t="s">
        <v>10</v>
      </c>
      <c r="D69">
        <v>26</v>
      </c>
      <c r="E69" t="s">
        <v>117</v>
      </c>
      <c r="F69">
        <f>SUM(G69:U69)</f>
        <v>53</v>
      </c>
      <c r="G69">
        <v>50</v>
      </c>
      <c r="J69" s="2">
        <f>1+0+2+0</f>
        <v>3</v>
      </c>
    </row>
    <row r="70" spans="1:10" x14ac:dyDescent="0.2">
      <c r="A70">
        <v>65</v>
      </c>
      <c r="B70" t="s">
        <v>24</v>
      </c>
      <c r="C70" t="s">
        <v>5</v>
      </c>
      <c r="D70">
        <v>9</v>
      </c>
      <c r="E70" t="s">
        <v>99</v>
      </c>
      <c r="F70">
        <f>SUM(G70:U70)</f>
        <v>10</v>
      </c>
      <c r="I70">
        <f>1+2+1</f>
        <v>4</v>
      </c>
      <c r="J70">
        <f>2+2+1+1</f>
        <v>6</v>
      </c>
    </row>
    <row r="71" spans="1:10" x14ac:dyDescent="0.2">
      <c r="A71">
        <v>16</v>
      </c>
      <c r="B71" t="s">
        <v>51</v>
      </c>
      <c r="C71" t="s">
        <v>15</v>
      </c>
      <c r="D71">
        <v>35</v>
      </c>
      <c r="E71" t="s">
        <v>128</v>
      </c>
      <c r="F71">
        <f>SUM(G71:U71)</f>
        <v>0</v>
      </c>
    </row>
    <row r="72" spans="1:10" x14ac:dyDescent="0.2">
      <c r="A72">
        <v>42</v>
      </c>
      <c r="B72" t="s">
        <v>67</v>
      </c>
      <c r="C72" t="s">
        <v>10</v>
      </c>
      <c r="D72">
        <v>19</v>
      </c>
      <c r="E72" t="s">
        <v>109</v>
      </c>
      <c r="F72">
        <f>SUM(G72:U72)</f>
        <v>0</v>
      </c>
    </row>
    <row r="73" spans="1:10" x14ac:dyDescent="0.2">
      <c r="A73">
        <v>17</v>
      </c>
      <c r="B73" t="s">
        <v>18</v>
      </c>
      <c r="C73" t="s">
        <v>15</v>
      </c>
      <c r="D73">
        <v>6</v>
      </c>
      <c r="E73" t="s">
        <v>96</v>
      </c>
      <c r="F73">
        <f>SUM(G73:U73)</f>
        <v>52</v>
      </c>
      <c r="G73">
        <v>50</v>
      </c>
      <c r="I73" s="2" t="s">
        <v>114</v>
      </c>
      <c r="J73">
        <f>2</f>
        <v>2</v>
      </c>
    </row>
    <row r="74" spans="1:10" x14ac:dyDescent="0.2">
      <c r="A74">
        <v>66</v>
      </c>
      <c r="B74" t="s">
        <v>8</v>
      </c>
      <c r="C74" t="s">
        <v>5</v>
      </c>
      <c r="D74">
        <v>2</v>
      </c>
      <c r="E74" t="s">
        <v>92</v>
      </c>
      <c r="F74">
        <f>SUM(G74:U74)</f>
        <v>0</v>
      </c>
    </row>
    <row r="75" spans="1:10" x14ac:dyDescent="0.2">
      <c r="A75">
        <v>18</v>
      </c>
      <c r="B75" t="s">
        <v>28</v>
      </c>
      <c r="C75" t="s">
        <v>15</v>
      </c>
      <c r="D75">
        <v>11</v>
      </c>
      <c r="E75" t="s">
        <v>101</v>
      </c>
      <c r="F75">
        <f>SUM(G75:U75)</f>
        <v>1</v>
      </c>
      <c r="I75">
        <f>1</f>
        <v>1</v>
      </c>
    </row>
    <row r="76" spans="1:10" x14ac:dyDescent="0.2">
      <c r="A76">
        <v>43</v>
      </c>
      <c r="B76" t="s">
        <v>11</v>
      </c>
      <c r="C76" t="s">
        <v>10</v>
      </c>
      <c r="D76">
        <v>3</v>
      </c>
      <c r="E76" t="s">
        <v>93</v>
      </c>
      <c r="F76">
        <f>SUM(G76:U76)</f>
        <v>0</v>
      </c>
    </row>
    <row r="77" spans="1:10" x14ac:dyDescent="0.2">
      <c r="A77">
        <v>82</v>
      </c>
      <c r="B77" t="s">
        <v>89</v>
      </c>
      <c r="C77" t="s">
        <v>32</v>
      </c>
      <c r="F77">
        <f>SUM(G77:U77)</f>
        <v>0</v>
      </c>
    </row>
    <row r="78" spans="1:10" x14ac:dyDescent="0.2">
      <c r="A78">
        <v>19</v>
      </c>
      <c r="B78" t="s">
        <v>30</v>
      </c>
      <c r="C78" t="s">
        <v>15</v>
      </c>
      <c r="D78">
        <v>12</v>
      </c>
      <c r="E78" t="s">
        <v>102</v>
      </c>
      <c r="F78">
        <f>SUM(G78:U78)</f>
        <v>1</v>
      </c>
      <c r="H78">
        <f>1</f>
        <v>1</v>
      </c>
    </row>
    <row r="79" spans="1:10" x14ac:dyDescent="0.2">
      <c r="A79">
        <v>20</v>
      </c>
      <c r="B79" t="s">
        <v>37</v>
      </c>
      <c r="C79" t="s">
        <v>15</v>
      </c>
      <c r="D79">
        <v>15</v>
      </c>
      <c r="E79" t="s">
        <v>105</v>
      </c>
      <c r="F79">
        <f>SUM(G79:U79)</f>
        <v>0</v>
      </c>
    </row>
    <row r="80" spans="1:10" x14ac:dyDescent="0.2">
      <c r="A80">
        <v>67</v>
      </c>
      <c r="B80" t="s">
        <v>22</v>
      </c>
      <c r="C80" t="s">
        <v>5</v>
      </c>
      <c r="D80">
        <v>8</v>
      </c>
      <c r="E80" t="s">
        <v>98</v>
      </c>
      <c r="F80">
        <f>SUM(G80:U80)</f>
        <v>52</v>
      </c>
      <c r="G80">
        <v>50</v>
      </c>
      <c r="I80" s="2">
        <f>2</f>
        <v>2</v>
      </c>
    </row>
    <row r="81" spans="1:10" x14ac:dyDescent="0.2">
      <c r="A81">
        <v>68</v>
      </c>
      <c r="B81" t="s">
        <v>20</v>
      </c>
      <c r="C81" t="s">
        <v>5</v>
      </c>
      <c r="D81">
        <v>7</v>
      </c>
      <c r="E81" t="s">
        <v>97</v>
      </c>
      <c r="F81">
        <f>SUM(G81:U81)</f>
        <v>0</v>
      </c>
    </row>
    <row r="82" spans="1:10" x14ac:dyDescent="0.2">
      <c r="A82">
        <v>44</v>
      </c>
      <c r="B82" t="s">
        <v>68</v>
      </c>
      <c r="C82" t="s">
        <v>10</v>
      </c>
      <c r="D82">
        <v>33</v>
      </c>
      <c r="E82" t="s">
        <v>125</v>
      </c>
      <c r="F82">
        <f>SUM(G82:U82)</f>
        <v>0</v>
      </c>
    </row>
    <row r="83" spans="1:10" x14ac:dyDescent="0.2">
      <c r="A83">
        <v>21</v>
      </c>
      <c r="B83" t="s">
        <v>16</v>
      </c>
      <c r="C83" t="s">
        <v>15</v>
      </c>
      <c r="D83">
        <v>5</v>
      </c>
      <c r="E83" t="s">
        <v>95</v>
      </c>
      <c r="F83">
        <f>SUM(G83:U83)</f>
        <v>56</v>
      </c>
      <c r="G83">
        <v>50</v>
      </c>
      <c r="H83" s="2" t="s">
        <v>114</v>
      </c>
      <c r="I83">
        <f>1+1+1</f>
        <v>3</v>
      </c>
      <c r="J83">
        <f>2+1</f>
        <v>3</v>
      </c>
    </row>
    <row r="84" spans="1:10" x14ac:dyDescent="0.2">
      <c r="I84" t="s">
        <v>132</v>
      </c>
    </row>
  </sheetData>
  <autoFilter ref="A1:J1" xr:uid="{00000000-0001-0000-0000-000000000000}">
    <sortState xmlns:xlrd2="http://schemas.microsoft.com/office/spreadsheetml/2017/richdata2" ref="A2:J84">
      <sortCondition ref="B1"/>
    </sortState>
  </autoFilter>
  <sortState xmlns:xlrd2="http://schemas.microsoft.com/office/spreadsheetml/2017/richdata2" ref="A2:E84">
    <sortCondition ref="D1:D84"/>
  </sortState>
  <pageMargins left="0.78749999999999998" right="0.78749999999999998" top="1.0249999999999999" bottom="1.0249999999999999" header="0.78749999999999998" footer="0.78749999999999998"/>
  <pageSetup paperSize="9" orientation="portrait" useFirstPageNumber="1" horizontalDpi="300" verticalDpi="300" r:id="rId1"/>
  <headerFooter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48260</TotalTime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ОМО_4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Cc 2646</cp:lastModifiedBy>
  <cp:revision>427</cp:revision>
  <dcterms:created xsi:type="dcterms:W3CDTF">2025-08-29T18:41:59Z</dcterms:created>
  <dcterms:modified xsi:type="dcterms:W3CDTF">2026-10-04T10:38:23Z</dcterms:modified>
  <dc:language>ru-RU</dc:language>
</cp:coreProperties>
</file>